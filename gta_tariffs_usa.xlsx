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622357386be9f/Documents/Pixx/Expressions/Youtube/Tariff/"/>
    </mc:Choice>
  </mc:AlternateContent>
  <xr:revisionPtr revIDLastSave="32" documentId="13_ncr:1_{CBB0A6EF-29AF-420B-96B5-06640A59039B}" xr6:coauthVersionLast="47" xr6:coauthVersionMax="47" xr10:uidLastSave="{B30D8D3D-F978-46DE-91E4-E6D53BEA42DB}"/>
  <bookViews>
    <workbookView xWindow="-96" yWindow="-96" windowWidth="23232" windowHeight="13872" xr2:uid="{A99A1356-5249-4EC1-9051-3C8FB93A516E}"/>
  </bookViews>
  <sheets>
    <sheet name="Tariff List" sheetId="1" r:id="rId1"/>
    <sheet name="Nepal" sheetId="3" r:id="rId2"/>
    <sheet name="Referen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H7" i="3"/>
  <c r="C6" i="3"/>
  <c r="E6" i="3" s="1"/>
  <c r="D6" i="3"/>
  <c r="H42" i="1"/>
  <c r="H41" i="1"/>
  <c r="E49" i="1"/>
  <c r="H49" i="1"/>
  <c r="D49" i="1"/>
  <c r="C49" i="1"/>
  <c r="D58" i="1"/>
  <c r="C58" i="1"/>
  <c r="D54" i="1"/>
  <c r="C54" i="1"/>
  <c r="D45" i="1"/>
  <c r="C45" i="1"/>
  <c r="H45" i="1" s="1"/>
  <c r="J45" i="1" s="1"/>
  <c r="D42" i="1"/>
  <c r="C42" i="1"/>
  <c r="D38" i="1"/>
  <c r="C38" i="1"/>
  <c r="D9" i="1"/>
  <c r="D21" i="1"/>
  <c r="C21" i="1"/>
  <c r="E21" i="1" s="1"/>
  <c r="E25" i="1"/>
  <c r="D61" i="1"/>
  <c r="C61" i="1"/>
  <c r="D62" i="1"/>
  <c r="C62" i="1"/>
  <c r="C17" i="1"/>
  <c r="E17" i="1" s="1"/>
  <c r="C57" i="1"/>
  <c r="E32" i="1"/>
  <c r="C32" i="1"/>
  <c r="C52" i="1"/>
  <c r="E51" i="1"/>
  <c r="H51" i="1"/>
  <c r="E52" i="1"/>
  <c r="H52" i="1"/>
  <c r="E53" i="1"/>
  <c r="H53" i="1"/>
  <c r="J53" i="1" s="1"/>
  <c r="E54" i="1"/>
  <c r="H54" i="1"/>
  <c r="J54" i="1" s="1"/>
  <c r="E55" i="1"/>
  <c r="H55" i="1"/>
  <c r="J55" i="1" s="1"/>
  <c r="E56" i="1"/>
  <c r="H56" i="1"/>
  <c r="E57" i="1"/>
  <c r="H57" i="1"/>
  <c r="J57" i="1" s="1"/>
  <c r="H58" i="1"/>
  <c r="J58" i="1" s="1"/>
  <c r="E59" i="1"/>
  <c r="H59" i="1"/>
  <c r="J59" i="1" s="1"/>
  <c r="E60" i="1"/>
  <c r="H60" i="1"/>
  <c r="J60" i="1" s="1"/>
  <c r="E61" i="1"/>
  <c r="H61" i="1"/>
  <c r="J61" i="1" s="1"/>
  <c r="E62" i="1"/>
  <c r="H62" i="1"/>
  <c r="J62" i="1" s="1"/>
  <c r="J51" i="1"/>
  <c r="J52" i="1"/>
  <c r="J56" i="1"/>
  <c r="J49" i="1"/>
  <c r="J50" i="1"/>
  <c r="H50" i="1"/>
  <c r="E50" i="1"/>
  <c r="J48" i="1"/>
  <c r="E48" i="1"/>
  <c r="H48" i="1"/>
  <c r="E47" i="1"/>
  <c r="H47" i="1"/>
  <c r="J47" i="1" s="1"/>
  <c r="J46" i="1"/>
  <c r="E45" i="1"/>
  <c r="E46" i="1"/>
  <c r="H46" i="1"/>
  <c r="J44" i="1"/>
  <c r="E44" i="1"/>
  <c r="H44" i="1"/>
  <c r="J43" i="1"/>
  <c r="E43" i="1"/>
  <c r="H43" i="1"/>
  <c r="E41" i="1"/>
  <c r="J41" i="1"/>
  <c r="D41" i="1"/>
  <c r="C41" i="1"/>
  <c r="J40" i="1"/>
  <c r="E40" i="1"/>
  <c r="H40" i="1"/>
  <c r="D40" i="1"/>
  <c r="C40" i="1"/>
  <c r="J39" i="1"/>
  <c r="E39" i="1"/>
  <c r="H39" i="1"/>
  <c r="D39" i="1"/>
  <c r="C39" i="1"/>
  <c r="E38" i="1"/>
  <c r="H38" i="1"/>
  <c r="J38" i="1" s="1"/>
  <c r="J37" i="1"/>
  <c r="E37" i="1"/>
  <c r="H37" i="1"/>
  <c r="D37" i="1"/>
  <c r="C37" i="1"/>
  <c r="I36" i="1"/>
  <c r="E36" i="1"/>
  <c r="H36" i="1"/>
  <c r="E35" i="1"/>
  <c r="H35" i="1"/>
  <c r="I35" i="1" s="1"/>
  <c r="J35" i="1" s="1"/>
  <c r="D35" i="1"/>
  <c r="C35" i="1"/>
  <c r="E34" i="1"/>
  <c r="D34" i="1"/>
  <c r="C34" i="1"/>
  <c r="D31" i="1"/>
  <c r="E31" i="1"/>
  <c r="C31" i="1"/>
  <c r="E30" i="1"/>
  <c r="D30" i="1"/>
  <c r="C30" i="1"/>
  <c r="J29" i="1"/>
  <c r="H29" i="1"/>
  <c r="E29" i="1"/>
  <c r="J28" i="1"/>
  <c r="H28" i="1"/>
  <c r="E28" i="1"/>
  <c r="H25" i="1"/>
  <c r="J25" i="1" s="1"/>
  <c r="H26" i="1"/>
  <c r="J26" i="1" s="1"/>
  <c r="E26" i="1"/>
  <c r="J23" i="1"/>
  <c r="E23" i="1"/>
  <c r="H23" i="1"/>
  <c r="H22" i="1"/>
  <c r="J22" i="1" s="1"/>
  <c r="E22" i="1"/>
  <c r="H21" i="1"/>
  <c r="J21" i="1" s="1"/>
  <c r="J20" i="1"/>
  <c r="C20" i="1"/>
  <c r="E20" i="1" s="1"/>
  <c r="D20" i="1"/>
  <c r="E19" i="1"/>
  <c r="H19" i="1"/>
  <c r="J19" i="1" s="1"/>
  <c r="J18" i="1"/>
  <c r="E18" i="1"/>
  <c r="H18" i="1"/>
  <c r="D18" i="1"/>
  <c r="C18" i="1"/>
  <c r="D17" i="1"/>
  <c r="J16" i="1"/>
  <c r="E16" i="1"/>
  <c r="H16" i="1"/>
  <c r="C16" i="1"/>
  <c r="E14" i="1"/>
  <c r="H14" i="1"/>
  <c r="J14" i="1"/>
  <c r="D14" i="1"/>
  <c r="C14" i="1"/>
  <c r="D13" i="1"/>
  <c r="C13" i="1"/>
  <c r="C12" i="1"/>
  <c r="D11" i="1"/>
  <c r="C11" i="1"/>
  <c r="H11" i="1" s="1"/>
  <c r="J11" i="1" s="1"/>
  <c r="E7" i="1"/>
  <c r="E8" i="1"/>
  <c r="E9" i="1"/>
  <c r="E10" i="1"/>
  <c r="E11" i="1"/>
  <c r="E12" i="1"/>
  <c r="E13" i="1"/>
  <c r="E15" i="1"/>
  <c r="E24" i="1"/>
  <c r="E27" i="1"/>
  <c r="E33" i="1"/>
  <c r="E6" i="1"/>
  <c r="H10" i="1"/>
  <c r="J10" i="1" s="1"/>
  <c r="H12" i="1"/>
  <c r="J12" i="1" s="1"/>
  <c r="H13" i="1"/>
  <c r="J13" i="1" s="1"/>
  <c r="D10" i="1"/>
  <c r="C10" i="1"/>
  <c r="C9" i="1"/>
  <c r="H9" i="1" s="1"/>
  <c r="J9" i="1" s="1"/>
  <c r="C7" i="1"/>
  <c r="H7" i="1" s="1"/>
  <c r="J7" i="1" s="1"/>
  <c r="D33" i="1"/>
  <c r="C33" i="1"/>
  <c r="H8" i="1"/>
  <c r="J8" i="1" s="1"/>
  <c r="H30" i="1"/>
  <c r="J30" i="1" s="1"/>
  <c r="H31" i="1"/>
  <c r="I31" i="1" s="1"/>
  <c r="J31" i="1" s="1"/>
  <c r="H32" i="1"/>
  <c r="J32" i="1" s="1"/>
  <c r="H34" i="1"/>
  <c r="J34" i="1" s="1"/>
  <c r="H6" i="1"/>
  <c r="J6" i="1" s="1"/>
  <c r="H27" i="1"/>
  <c r="J27" i="1" s="1"/>
  <c r="H24" i="1"/>
  <c r="J24" i="1" s="1"/>
  <c r="H15" i="1"/>
  <c r="J15" i="1" s="1"/>
  <c r="H6" i="3" l="1"/>
  <c r="E58" i="1"/>
  <c r="H17" i="1"/>
  <c r="J17" i="1" s="1"/>
  <c r="J42" i="1"/>
  <c r="E42" i="1"/>
  <c r="J36" i="1"/>
  <c r="H20" i="1"/>
  <c r="H33" i="1"/>
  <c r="J33" i="1" s="1"/>
</calcChain>
</file>

<file path=xl/sharedStrings.xml><?xml version="1.0" encoding="utf-8"?>
<sst xmlns="http://schemas.openxmlformats.org/spreadsheetml/2006/main" count="111" uniqueCount="102">
  <si>
    <t>China</t>
  </si>
  <si>
    <t>Country</t>
  </si>
  <si>
    <t>https://ustr.gov/countries-regions/china-mongolia-taiwan/peoples-republic-china</t>
  </si>
  <si>
    <t>https://ustr.gov/issue-areas/reciprocal-tariff-calculations</t>
  </si>
  <si>
    <t>https://www.whitehouse.gov/wp-content/uploads/2025/04/Annex-I.pdf</t>
  </si>
  <si>
    <t>Reciprocal Tariffs</t>
  </si>
  <si>
    <t>Reciprocal Tariff by Trump</t>
  </si>
  <si>
    <t>Liechtenstein</t>
  </si>
  <si>
    <t>https://ustr.gov/countries-regions</t>
  </si>
  <si>
    <t>Japan</t>
  </si>
  <si>
    <t>Indonesia</t>
  </si>
  <si>
    <t>https://tradingeconomics.com/united-states/imports-from-liechtenstein</t>
  </si>
  <si>
    <t>https://ustr.gov/countries-regions/europe-middle-east/middle-eastnorth-africa/algeria</t>
  </si>
  <si>
    <t>Algeria</t>
  </si>
  <si>
    <t>Angola</t>
  </si>
  <si>
    <t>Bangladesh</t>
  </si>
  <si>
    <t>https://ustr.gov/countries-regions/south-central-asia/bangladesh</t>
  </si>
  <si>
    <t>https://ustr.gov/countries-regions/africa/southern-africa/angola</t>
  </si>
  <si>
    <t>Botswana</t>
  </si>
  <si>
    <t>https://ustr.gov/countries-regions/africa/southern-africa/botswana</t>
  </si>
  <si>
    <t>https://www.theguardian.com/business/2025/apr/03/trumps-tariffs-the-full-list</t>
  </si>
  <si>
    <t>The Guardian Tariff List</t>
  </si>
  <si>
    <t>Brunei</t>
  </si>
  <si>
    <t>Cambodia</t>
  </si>
  <si>
    <t>Cameroon</t>
  </si>
  <si>
    <t>Chad</t>
  </si>
  <si>
    <t>Côte d`Ivoire</t>
  </si>
  <si>
    <t>Democratic Republic of the Congo</t>
  </si>
  <si>
    <t>Equatorial Guinea</t>
  </si>
  <si>
    <t>European Union</t>
  </si>
  <si>
    <t>India</t>
  </si>
  <si>
    <t>Iraq</t>
  </si>
  <si>
    <t>Israel</t>
  </si>
  <si>
    <t>Jordan</t>
  </si>
  <si>
    <t>Kazakhstan</t>
  </si>
  <si>
    <t>Laos</t>
  </si>
  <si>
    <t>Lesotho</t>
  </si>
  <si>
    <t>Libya</t>
  </si>
  <si>
    <t>https://time.com/7274194/trump-reciprocal-tariffs-highest-country-rates-calculation-math-imports-exports/</t>
  </si>
  <si>
    <t>Madagascar</t>
  </si>
  <si>
    <t>Malawi</t>
  </si>
  <si>
    <t>Malaysia</t>
  </si>
  <si>
    <t>Mauritius</t>
  </si>
  <si>
    <t>Mozambique</t>
  </si>
  <si>
    <t>Myanmar (Burma)</t>
  </si>
  <si>
    <t>Namibia</t>
  </si>
  <si>
    <r>
      <rPr>
        <b/>
        <sz val="14"/>
        <color theme="1"/>
        <rFont val="Aptos Narrow"/>
        <family val="2"/>
        <charset val="1"/>
      </rPr>
      <t>Δ</t>
    </r>
    <r>
      <rPr>
        <b/>
        <sz val="14"/>
        <color theme="1"/>
        <rFont val="Aptos Narrow"/>
        <family val="2"/>
      </rPr>
      <t>τ</t>
    </r>
  </si>
  <si>
    <t>Demand Elasticity ε</t>
  </si>
  <si>
    <t>Price Passthrough ϕ</t>
  </si>
  <si>
    <r>
      <t xml:space="preserve">Reciprocal Tariff/ </t>
    </r>
    <r>
      <rPr>
        <b/>
        <sz val="14"/>
        <color theme="1"/>
        <rFont val="Aptos Narrow"/>
        <family val="2"/>
        <charset val="1"/>
      </rPr>
      <t>Δ</t>
    </r>
    <r>
      <rPr>
        <b/>
        <sz val="14"/>
        <color theme="1"/>
        <rFont val="Aptos Narrow"/>
        <family val="2"/>
        <scheme val="minor"/>
      </rPr>
      <t>τ</t>
    </r>
  </si>
  <si>
    <t>Trade Deficit
($ billion)</t>
  </si>
  <si>
    <t>https://moldova1.md/p/46664/moldova-faces-31-tariff-on-u-s-exports-here-s-the-impact</t>
  </si>
  <si>
    <t>Nepal</t>
  </si>
  <si>
    <t>Nicaragua</t>
  </si>
  <si>
    <t>https://www.abc.net.au/pacific/donald-trump-us-tariffs-on-pacific-fiji-vanuatu-nauru/105138028</t>
  </si>
  <si>
    <t>Nigeria</t>
  </si>
  <si>
    <t>Norway</t>
  </si>
  <si>
    <t>Pakistan</t>
  </si>
  <si>
    <t>Philippines</t>
  </si>
  <si>
    <t>South Africa</t>
  </si>
  <si>
    <t>South Korea</t>
  </si>
  <si>
    <t>Sri Lanka</t>
  </si>
  <si>
    <t>https://ustr.gov/countries-regions/japan-korea-apec/korea</t>
  </si>
  <si>
    <t>Switzerland</t>
  </si>
  <si>
    <t>Taiwan</t>
  </si>
  <si>
    <t>Thailand</t>
  </si>
  <si>
    <t>Tunisia</t>
  </si>
  <si>
    <t>https://ustr.gov/countries-regions/europe-middle-east/middle-eastnorth-africa/libya</t>
  </si>
  <si>
    <t>https://ustr.gov/countries-regions/europe-middle-east/middle-eastnorth-africa/tunisia</t>
  </si>
  <si>
    <t>Venezuela</t>
  </si>
  <si>
    <t>Vietnam</t>
  </si>
  <si>
    <t>Zambia</t>
  </si>
  <si>
    <t>Zimbabwe</t>
  </si>
  <si>
    <t>https://ustr.gov/Iraq</t>
  </si>
  <si>
    <t>https://www.census.gov/foreign-trade/balance/c6863.html</t>
  </si>
  <si>
    <t>https://ustr.gov/countries-regions/africa/central-africa/democratic-republic-congo</t>
  </si>
  <si>
    <t>https://www.census.gov/foreign-trade/balance/c3720.html</t>
  </si>
  <si>
    <t>https://www.census.gov/foreign-trade/balance/</t>
  </si>
  <si>
    <t>https://www.census.gov/foreign-trade/balance/c3120.html</t>
  </si>
  <si>
    <t>https://www.census.gov/foreign-trade/balance/c4793.html</t>
  </si>
  <si>
    <t>https://www.census.gov/foreign-trade/balance/c4641.html</t>
  </si>
  <si>
    <t>https://www.census.gov/foreign-trade/balance/c6862.html</t>
  </si>
  <si>
    <t>https://www.census.gov/foreign-trade/balance/c4794.html</t>
  </si>
  <si>
    <t>https://www.census.gov/foreign-trade/balance/c5020.html</t>
  </si>
  <si>
    <t>https://www.census.gov/foreign-trade/balance/c6224.html</t>
  </si>
  <si>
    <t>Bosnia and Herzegovina**</t>
  </si>
  <si>
    <t>Fiji**</t>
  </si>
  <si>
    <t>Guyana**</t>
  </si>
  <si>
    <t>Falkland Islands**</t>
  </si>
  <si>
    <t>Moldova**</t>
  </si>
  <si>
    <t>Nauru**</t>
  </si>
  <si>
    <t>North Macedonia**</t>
  </si>
  <si>
    <t>Serbia**</t>
  </si>
  <si>
    <t>Syria**</t>
  </si>
  <si>
    <t>Vanuatu**</t>
  </si>
  <si>
    <t>Demand Elasticity 
ε</t>
  </si>
  <si>
    <t>Tariff Reciprocal Formula &amp; Epsilon &amp; Phi Values</t>
  </si>
  <si>
    <t>Import and Export Data</t>
  </si>
  <si>
    <t>NA</t>
  </si>
  <si>
    <t>Export
($ billion)</t>
  </si>
  <si>
    <t>Import
($ billion)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</si>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</sst>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0.000"/>
    <numFmt numFmtId="165" formatCode="0.0"/>
    <numFmt numFmtId="166" formatCode="&quot;$&quot;#,##0.000;[Red]\-&quot;$&quot;#,##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12529"/>
      <name val="Arial"/>
      <family val="2"/>
    </font>
    <font>
      <b/>
      <sz val="14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charset val="1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8" fontId="3" fillId="0" borderId="0" xfId="0" applyNumberFormat="1" applyFont="1" applyAlignment="1">
      <alignment horizontal="center"/>
    </xf>
    <xf numFmtId="0" fontId="5" fillId="0" borderId="0" xfId="2"/>
    <xf numFmtId="9" fontId="0" fillId="0" borderId="0" xfId="1" applyFont="1" applyAlignment="1">
      <alignment horizontal="center"/>
    </xf>
    <xf numFmtId="165" fontId="0" fillId="0" borderId="0" xfId="0" applyNumberFormat="1" applyAlignment="1">
      <alignment horizontal="center"/>
    </xf>
    <xf numFmtId="8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6" fillId="0" borderId="1" xfId="0" applyFont="1" applyBorder="1"/>
    <xf numFmtId="8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6" fillId="0" borderId="11" xfId="0" applyFont="1" applyBorder="1"/>
    <xf numFmtId="165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/>
    <xf numFmtId="0" fontId="0" fillId="0" borderId="4" xfId="0" applyBorder="1"/>
    <xf numFmtId="8" fontId="3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1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6" fillId="2" borderId="11" xfId="0" applyFont="1" applyFill="1" applyBorder="1"/>
    <xf numFmtId="8" fontId="3" fillId="2" borderId="7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9" fontId="0" fillId="2" borderId="7" xfId="1" applyFon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6" fontId="3" fillId="2" borderId="7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/>
    <xf numFmtId="0" fontId="0" fillId="0" borderId="13" xfId="0" applyBorder="1"/>
    <xf numFmtId="8" fontId="3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14" xfId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6" fillId="2" borderId="4" xfId="0" applyFont="1" applyFill="1" applyBorder="1"/>
    <xf numFmtId="8" fontId="3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9" fontId="0" fillId="2" borderId="5" xfId="1" applyFon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/>
    </xf>
    <xf numFmtId="0" fontId="8" fillId="3" borderId="8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horizontal="center" vertical="top" wrapText="1"/>
    </xf>
    <xf numFmtId="0" fontId="8" fillId="3" borderId="10" xfId="0" applyFont="1" applyFill="1" applyBorder="1" applyAlignment="1">
      <alignment horizontal="center" vertical="top" wrapText="1"/>
    </xf>
    <xf numFmtId="0" fontId="8" fillId="3" borderId="9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772510</xdr:colOff>
      <xdr:row>9</xdr:row>
      <xdr:rowOff>36786</xdr:rowOff>
    </xdr:from>
    <xdr:to>
      <xdr:col>5</xdr:col>
      <xdr:colOff>664778</xdr:colOff>
      <xdr:row>11</xdr:row>
      <xdr:rowOff>63062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84FB5DD-D496-6003-8CB2-E4D915E58DB1}"/>
            </a:ext>
          </a:extLst>
        </xdr:cNvPr>
        <xdr:cNvSpPr/>
      </xdr:nvSpPr>
      <xdr:spPr>
        <a:xfrm>
          <a:off x="3058510" y="2241331"/>
          <a:ext cx="1539765" cy="394138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800"/>
            <a:t>Trade Surplus</a:t>
          </a:r>
        </a:p>
      </xdr:txBody>
    </xdr:sp>
    <xdr:clientData/>
  </xdr:twoCellAnchor>
  <xdr:twoCellAnchor>
    <xdr:from>
      <xdr:col>4</xdr:col>
      <xdr:colOff>465083</xdr:colOff>
      <xdr:row>7</xdr:row>
      <xdr:rowOff>26276</xdr:rowOff>
    </xdr:from>
    <xdr:to>
      <xdr:col>4</xdr:col>
      <xdr:colOff>706821</xdr:colOff>
      <xdr:row>9</xdr:row>
      <xdr:rowOff>36786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ABBE761-03BF-6281-6EAE-D464161E170B}"/>
            </a:ext>
          </a:extLst>
        </xdr:cNvPr>
        <xdr:cNvCxnSpPr>
          <a:stCxn id="2" idx="0"/>
        </xdr:cNvCxnSpPr>
      </xdr:nvCxnSpPr>
      <xdr:spPr>
        <a:xfrm flipH="1" flipV="1">
          <a:off x="3586655" y="1862959"/>
          <a:ext cx="241738" cy="378372"/>
        </a:xfrm>
        <a:prstGeom prst="straightConnector1">
          <a:avLst/>
        </a:prstGeom>
        <a:ln w="28575">
          <a:solidFill>
            <a:schemeClr val="accent6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297180</xdr:colOff>
      <xdr:row>1</xdr:row>
      <xdr:rowOff>133350</xdr:rowOff>
    </xdr:from>
    <xdr:to>
      <xdr:col>13</xdr:col>
      <xdr:colOff>41275</xdr:colOff>
      <xdr:row>8</xdr:row>
      <xdr:rowOff>127635</xdr:rowOff>
    </xdr:to>
    <xdr:pic>
      <xdr:nvPicPr>
        <xdr:cNvPr id="2" name="Picture 1" descr="A mathematical equation with black text&#10;&#10;AI-generated content may be incorrect.">
          <a:extLst>
            <a:ext uri="{FF2B5EF4-FFF2-40B4-BE49-F238E27FC236}">
              <a16:creationId xmlns:a16="http://schemas.microsoft.com/office/drawing/2014/main" id="{41C58B5A-1489-5E7D-0A89-62107BE26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7820" y="316230"/>
          <a:ext cx="2944495" cy="12744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c.net.au/pacific/donald-trump-us-tariffs-on-pacific-fiji-vanuatu-nauru/105138028" TargetMode="External"/><Relationship Id="rId13" Type="http://schemas.openxmlformats.org/officeDocument/2006/relationships/hyperlink" Target="https://www.census.gov/foreign-trade/balance/c3720.html" TargetMode="External"/><Relationship Id="rId18" Type="http://schemas.openxmlformats.org/officeDocument/2006/relationships/hyperlink" Target="https://www.census.gov/foreign-trade/balance/c4793.html" TargetMode="External"/><Relationship Id="rId3" Type="http://schemas.openxmlformats.org/officeDocument/2006/relationships/hyperlink" Target="https://ustr.gov/countries-regions/europe-middle-east/middle-eastnorth-africa/algeria" TargetMode="External"/><Relationship Id="rId7" Type="http://schemas.openxmlformats.org/officeDocument/2006/relationships/hyperlink" Target="https://moldova1.md/p/46664/moldova-faces-31-tariff-on-u-s-exports-here-s-the-impact" TargetMode="External"/><Relationship Id="rId12" Type="http://schemas.openxmlformats.org/officeDocument/2006/relationships/hyperlink" Target="https://ustr.gov/Iraq" TargetMode="External"/><Relationship Id="rId17" Type="http://schemas.openxmlformats.org/officeDocument/2006/relationships/hyperlink" Target="https://www.census.gov/foreign-trade/balance/c6224.html" TargetMode="External"/><Relationship Id="rId2" Type="http://schemas.openxmlformats.org/officeDocument/2006/relationships/hyperlink" Target="https://tradingeconomics.com/united-states/imports-from-liechtenstein" TargetMode="External"/><Relationship Id="rId16" Type="http://schemas.openxmlformats.org/officeDocument/2006/relationships/hyperlink" Target="https://www.census.gov/foreign-trade/balance/c5020.html" TargetMode="External"/><Relationship Id="rId1" Type="http://schemas.openxmlformats.org/officeDocument/2006/relationships/hyperlink" Target="https://ustr.gov/countries-regions/china-mongolia-taiwan/peoples-republic-china" TargetMode="External"/><Relationship Id="rId6" Type="http://schemas.openxmlformats.org/officeDocument/2006/relationships/hyperlink" Target="https://ustr.gov/countries-regions/africa/southern-africa/botswana" TargetMode="External"/><Relationship Id="rId11" Type="http://schemas.openxmlformats.org/officeDocument/2006/relationships/hyperlink" Target="https://ustr.gov/countries-regions/europe-middle-east/middle-eastnorth-africa/tunisia" TargetMode="External"/><Relationship Id="rId5" Type="http://schemas.openxmlformats.org/officeDocument/2006/relationships/hyperlink" Target="https://ustr.gov/countries-regions/africa/southern-africa/angola" TargetMode="External"/><Relationship Id="rId15" Type="http://schemas.openxmlformats.org/officeDocument/2006/relationships/hyperlink" Target="https://www.census.gov/foreign-trade/balance/c4794.html" TargetMode="External"/><Relationship Id="rId10" Type="http://schemas.openxmlformats.org/officeDocument/2006/relationships/hyperlink" Target="https://ustr.gov/countries-regions/europe-middle-east/middle-eastnorth-africa/libya" TargetMode="External"/><Relationship Id="rId4" Type="http://schemas.openxmlformats.org/officeDocument/2006/relationships/hyperlink" Target="https://ustr.gov/countries-regions/south-central-asia/bangladesh" TargetMode="External"/><Relationship Id="rId9" Type="http://schemas.openxmlformats.org/officeDocument/2006/relationships/hyperlink" Target="https://ustr.gov/countries-regions/japan-korea-apec/korea" TargetMode="External"/><Relationship Id="rId14" Type="http://schemas.openxmlformats.org/officeDocument/2006/relationships/hyperlink" Target="https://www.census.gov/foreign-trade/balance/c3120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ustr.gov/countries-regions" TargetMode="External"/><Relationship Id="rId2" Type="http://schemas.openxmlformats.org/officeDocument/2006/relationships/hyperlink" Target="https://www.whitehouse.gov/wp-content/uploads/2025/04/Annex-I.pdf" TargetMode="External"/><Relationship Id="rId1" Type="http://schemas.openxmlformats.org/officeDocument/2006/relationships/hyperlink" Target="https://ustr.gov/issue-areas/reciprocal-tariff-calculations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census.gov/foreign-trade/balance/" TargetMode="External"/><Relationship Id="rId4" Type="http://schemas.openxmlformats.org/officeDocument/2006/relationships/hyperlink" Target="https://www.theguardian.com/business/2025/apr/03/trumps-tariffs-the-full-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A0B06-C07F-4729-AF7A-EFAE4282B337}">
  <dimension ref="B3:S69"/>
  <sheetViews>
    <sheetView tabSelected="1" topLeftCell="A3" zoomScale="85" zoomScaleNormal="85" workbookViewId="0">
      <selection activeCell="A3" sqref="A3"/>
    </sheetView>
  </sheetViews>
  <sheetFormatPr defaultRowHeight="14.4" x14ac:dyDescent="0.55000000000000004"/>
  <cols>
    <col min="2" max="2" width="29.20703125" customWidth="1"/>
    <col min="3" max="3" width="17.3125" customWidth="1"/>
    <col min="4" max="5" width="14.15625" customWidth="1"/>
    <col min="6" max="6" width="12.578125" customWidth="1"/>
    <col min="7" max="7" width="14.83984375" customWidth="1"/>
    <col min="8" max="8" width="10.3671875" customWidth="1"/>
    <col min="9" max="9" width="18.62890625" customWidth="1"/>
    <col min="10" max="10" width="22.3671875" customWidth="1"/>
  </cols>
  <sheetData>
    <row r="3" spans="2:19" ht="14.7" thickBot="1" x14ac:dyDescent="0.6"/>
    <row r="4" spans="2:19" ht="43.5" customHeight="1" x14ac:dyDescent="0.55000000000000004">
      <c r="B4" s="47" t="s">
        <v>1</v>
      </c>
      <c r="C4" s="45" t="s">
        <v>99</v>
      </c>
      <c r="D4" s="45" t="s">
        <v>100</v>
      </c>
      <c r="E4" s="45" t="s">
        <v>50</v>
      </c>
      <c r="F4" s="52" t="s">
        <v>95</v>
      </c>
      <c r="G4" s="52" t="s">
        <v>48</v>
      </c>
      <c r="H4" s="54" t="s">
        <v>46</v>
      </c>
      <c r="I4" s="45" t="s">
        <v>6</v>
      </c>
      <c r="J4" s="49" t="s">
        <v>49</v>
      </c>
    </row>
    <row r="5" spans="2:19" ht="18.3" customHeight="1" thickBot="1" x14ac:dyDescent="0.6">
      <c r="B5" s="48"/>
      <c r="C5" s="46"/>
      <c r="D5" s="46"/>
      <c r="E5" s="46"/>
      <c r="F5" s="53"/>
      <c r="G5" s="53"/>
      <c r="H5" s="55"/>
      <c r="I5" s="51"/>
      <c r="J5" s="50"/>
    </row>
    <row r="6" spans="2:19" ht="15.6" x14ac:dyDescent="0.6">
      <c r="B6" s="12" t="s">
        <v>13</v>
      </c>
      <c r="C6" s="13">
        <v>1</v>
      </c>
      <c r="D6" s="13">
        <v>2.5</v>
      </c>
      <c r="E6" s="13">
        <f>C6-D6</f>
        <v>-1.5</v>
      </c>
      <c r="F6" s="14">
        <v>4</v>
      </c>
      <c r="G6" s="14">
        <v>0.25</v>
      </c>
      <c r="H6" s="15">
        <f>(C6-D6)/(F6*G6*D6)</f>
        <v>-0.6</v>
      </c>
      <c r="I6" s="15">
        <v>0.3</v>
      </c>
      <c r="J6" s="16">
        <f>ABS(I6/H6)</f>
        <v>0.5</v>
      </c>
      <c r="L6" s="4" t="s">
        <v>12</v>
      </c>
    </row>
    <row r="7" spans="2:19" ht="15.6" x14ac:dyDescent="0.6">
      <c r="B7" s="26" t="s">
        <v>14</v>
      </c>
      <c r="C7" s="27">
        <f>682.4/1000</f>
        <v>0.68240000000000001</v>
      </c>
      <c r="D7" s="27">
        <v>1.9</v>
      </c>
      <c r="E7" s="27">
        <f t="shared" ref="E7:E13" si="0">C7-D7</f>
        <v>-1.2176</v>
      </c>
      <c r="F7" s="28">
        <v>4</v>
      </c>
      <c r="G7" s="28">
        <v>0.25</v>
      </c>
      <c r="H7" s="29">
        <f>(C7-D7)/(F7*G7*D7)</f>
        <v>-0.64084210526315788</v>
      </c>
      <c r="I7" s="29">
        <v>0.32</v>
      </c>
      <c r="J7" s="30">
        <f>ABS(I7/H7)</f>
        <v>0.49934296977660975</v>
      </c>
      <c r="L7" s="4" t="s">
        <v>17</v>
      </c>
    </row>
    <row r="8" spans="2:19" ht="15.6" x14ac:dyDescent="0.6">
      <c r="B8" s="17" t="s">
        <v>15</v>
      </c>
      <c r="C8" s="7">
        <v>2.2000000000000002</v>
      </c>
      <c r="D8" s="7">
        <v>8.4</v>
      </c>
      <c r="E8" s="7">
        <f t="shared" si="0"/>
        <v>-6.2</v>
      </c>
      <c r="F8" s="8">
        <v>4</v>
      </c>
      <c r="G8" s="8">
        <v>0.25</v>
      </c>
      <c r="H8" s="9">
        <f>(C8-D8)/(F8*G8*D8)</f>
        <v>-0.73809523809523814</v>
      </c>
      <c r="I8" s="9">
        <v>0.37</v>
      </c>
      <c r="J8" s="18">
        <f>ABS(I8/H8)</f>
        <v>0.5012903225806451</v>
      </c>
      <c r="L8" s="4" t="s">
        <v>16</v>
      </c>
    </row>
    <row r="9" spans="2:19" ht="15.6" x14ac:dyDescent="0.6">
      <c r="B9" s="26" t="s">
        <v>85</v>
      </c>
      <c r="C9" s="27">
        <f>53/1000</f>
        <v>5.2999999999999999E-2</v>
      </c>
      <c r="D9" s="31">
        <f>179.1/1000</f>
        <v>0.17909999999999998</v>
      </c>
      <c r="E9" s="27">
        <f t="shared" si="0"/>
        <v>-0.12609999999999999</v>
      </c>
      <c r="F9" s="28">
        <v>4</v>
      </c>
      <c r="G9" s="28">
        <v>0.25</v>
      </c>
      <c r="H9" s="29">
        <f>(C9-D9)/(F9*G9*D9)</f>
        <v>-0.70407593523171419</v>
      </c>
      <c r="I9" s="29">
        <v>0.35</v>
      </c>
      <c r="J9" s="30">
        <f>ABS(I9/H9)</f>
        <v>0.49710547184773979</v>
      </c>
      <c r="L9" s="4" t="s">
        <v>79</v>
      </c>
      <c r="S9" s="4"/>
    </row>
    <row r="10" spans="2:19" ht="15.6" x14ac:dyDescent="0.6">
      <c r="B10" s="17" t="s">
        <v>18</v>
      </c>
      <c r="C10" s="7">
        <f>104.3/1000</f>
        <v>0.1043</v>
      </c>
      <c r="D10" s="10">
        <f>405.1/1000</f>
        <v>0.40510000000000002</v>
      </c>
      <c r="E10" s="7">
        <f t="shared" si="0"/>
        <v>-0.30080000000000001</v>
      </c>
      <c r="F10" s="8">
        <v>4</v>
      </c>
      <c r="G10" s="8">
        <v>0.25</v>
      </c>
      <c r="H10" s="9">
        <f t="shared" ref="H10:H13" si="1">(C10-D10)/(F10*G10*D10)</f>
        <v>-0.74253270797333992</v>
      </c>
      <c r="I10" s="9">
        <v>0.37</v>
      </c>
      <c r="J10" s="18">
        <f t="shared" ref="J10:J13" si="2">ABS(I10/H10)</f>
        <v>0.4982945478723404</v>
      </c>
      <c r="L10" s="4" t="s">
        <v>19</v>
      </c>
    </row>
    <row r="11" spans="2:19" ht="15.6" x14ac:dyDescent="0.6">
      <c r="B11" s="26" t="s">
        <v>22</v>
      </c>
      <c r="C11" s="27">
        <f>127.2/1000</f>
        <v>0.12720000000000001</v>
      </c>
      <c r="D11" s="31">
        <f>238.8/1000</f>
        <v>0.23880000000000001</v>
      </c>
      <c r="E11" s="27">
        <f t="shared" si="0"/>
        <v>-0.1116</v>
      </c>
      <c r="F11" s="28">
        <v>4</v>
      </c>
      <c r="G11" s="28">
        <v>0.25</v>
      </c>
      <c r="H11" s="29">
        <f t="shared" si="1"/>
        <v>-0.4673366834170854</v>
      </c>
      <c r="I11" s="29">
        <v>0.24</v>
      </c>
      <c r="J11" s="30">
        <f t="shared" si="2"/>
        <v>0.51354838709677419</v>
      </c>
    </row>
    <row r="12" spans="2:19" ht="15.6" x14ac:dyDescent="0.6">
      <c r="B12" s="17" t="s">
        <v>23</v>
      </c>
      <c r="C12" s="7">
        <f>321.6/1000</f>
        <v>0.3216</v>
      </c>
      <c r="D12" s="10">
        <v>12.7</v>
      </c>
      <c r="E12" s="7">
        <f t="shared" si="0"/>
        <v>-12.378399999999999</v>
      </c>
      <c r="F12" s="8">
        <v>4</v>
      </c>
      <c r="G12" s="8">
        <v>0.25</v>
      </c>
      <c r="H12" s="9">
        <f t="shared" si="1"/>
        <v>-0.97467716535433069</v>
      </c>
      <c r="I12" s="9">
        <v>0.49</v>
      </c>
      <c r="J12" s="18">
        <f t="shared" si="2"/>
        <v>0.50273056291604734</v>
      </c>
    </row>
    <row r="13" spans="2:19" ht="15.6" x14ac:dyDescent="0.6">
      <c r="B13" s="26" t="s">
        <v>24</v>
      </c>
      <c r="C13" s="27">
        <f>193.1/1000</f>
        <v>0.19309999999999999</v>
      </c>
      <c r="D13" s="31">
        <f>248.8/1000</f>
        <v>0.24880000000000002</v>
      </c>
      <c r="E13" s="27">
        <f t="shared" si="0"/>
        <v>-5.5700000000000027E-2</v>
      </c>
      <c r="F13" s="28">
        <v>4</v>
      </c>
      <c r="G13" s="28">
        <v>0.25</v>
      </c>
      <c r="H13" s="29">
        <f t="shared" si="1"/>
        <v>-0.22387459807073964</v>
      </c>
      <c r="I13" s="29">
        <v>0.11</v>
      </c>
      <c r="J13" s="30">
        <f t="shared" si="2"/>
        <v>0.49134649910233374</v>
      </c>
    </row>
    <row r="14" spans="2:19" ht="15.6" x14ac:dyDescent="0.6">
      <c r="B14" s="17" t="s">
        <v>25</v>
      </c>
      <c r="C14" s="7">
        <f>59.9/1000</f>
        <v>5.9900000000000002E-2</v>
      </c>
      <c r="D14" s="10">
        <f>80.8/1000</f>
        <v>8.0799999999999997E-2</v>
      </c>
      <c r="E14" s="7">
        <f t="shared" ref="E14" si="3">C14-D14</f>
        <v>-2.0899999999999995E-2</v>
      </c>
      <c r="F14" s="8">
        <v>4</v>
      </c>
      <c r="G14" s="8">
        <v>0.25</v>
      </c>
      <c r="H14" s="9">
        <f t="shared" ref="H14" si="4">(C14-D14)/(F14*G14*D14)</f>
        <v>-0.25866336633663362</v>
      </c>
      <c r="I14" s="9">
        <v>0.13</v>
      </c>
      <c r="J14" s="18">
        <f t="shared" ref="J14" si="5">ABS(I14/H14)</f>
        <v>0.50258373205741635</v>
      </c>
      <c r="L14" s="4" t="s">
        <v>2</v>
      </c>
    </row>
    <row r="15" spans="2:19" ht="15.6" x14ac:dyDescent="0.6">
      <c r="B15" s="26" t="s">
        <v>0</v>
      </c>
      <c r="C15" s="27">
        <v>143.5</v>
      </c>
      <c r="D15" s="27">
        <v>438.9</v>
      </c>
      <c r="E15" s="27">
        <f t="shared" ref="E15:E25" si="6">C15-D15</f>
        <v>-295.39999999999998</v>
      </c>
      <c r="F15" s="28">
        <v>4</v>
      </c>
      <c r="G15" s="28">
        <v>0.25</v>
      </c>
      <c r="H15" s="29">
        <f t="shared" ref="H15:H24" si="7">(C15-D15)/(F15*G15*D15)</f>
        <v>-0.67304625199362045</v>
      </c>
      <c r="I15" s="29">
        <v>0.34</v>
      </c>
      <c r="J15" s="30">
        <f t="shared" ref="J15:J24" si="8">ABS(I15/H15)</f>
        <v>0.50516587677725122</v>
      </c>
    </row>
    <row r="16" spans="2:19" ht="15.6" x14ac:dyDescent="0.6">
      <c r="B16" s="17" t="s">
        <v>26</v>
      </c>
      <c r="C16" s="7">
        <f>596.6/1000</f>
        <v>0.59660000000000002</v>
      </c>
      <c r="D16" s="7">
        <v>1</v>
      </c>
      <c r="E16" s="7">
        <f t="shared" si="6"/>
        <v>-0.40339999999999998</v>
      </c>
      <c r="F16" s="8">
        <v>4</v>
      </c>
      <c r="G16" s="8">
        <v>0.25</v>
      </c>
      <c r="H16" s="9">
        <f t="shared" si="7"/>
        <v>-0.40339999999999998</v>
      </c>
      <c r="I16" s="9">
        <v>0.21</v>
      </c>
      <c r="J16" s="18">
        <f t="shared" si="8"/>
        <v>0.52057511155180958</v>
      </c>
    </row>
    <row r="17" spans="2:19" ht="15.6" x14ac:dyDescent="0.6">
      <c r="B17" s="26" t="s">
        <v>27</v>
      </c>
      <c r="C17" s="27">
        <f>253.3/1000</f>
        <v>0.25330000000000003</v>
      </c>
      <c r="D17" s="27">
        <f>323.1/1000</f>
        <v>0.3231</v>
      </c>
      <c r="E17" s="27">
        <f t="shared" si="6"/>
        <v>-6.9799999999999973E-2</v>
      </c>
      <c r="F17" s="28">
        <v>4</v>
      </c>
      <c r="G17" s="28">
        <v>0.25</v>
      </c>
      <c r="H17" s="29">
        <f t="shared" si="7"/>
        <v>-0.2160321881770349</v>
      </c>
      <c r="I17" s="29">
        <v>0.11</v>
      </c>
      <c r="J17" s="30">
        <f t="shared" si="8"/>
        <v>0.50918338108882544</v>
      </c>
      <c r="L17" s="4" t="s">
        <v>75</v>
      </c>
      <c r="S17" s="4" t="s">
        <v>11</v>
      </c>
    </row>
    <row r="18" spans="2:19" ht="15.6" x14ac:dyDescent="0.6">
      <c r="B18" s="17" t="s">
        <v>28</v>
      </c>
      <c r="C18" s="7">
        <f>95.4/1000</f>
        <v>9.5400000000000013E-2</v>
      </c>
      <c r="D18" s="7">
        <f>127.6/1000</f>
        <v>0.12759999999999999</v>
      </c>
      <c r="E18" s="7">
        <f t="shared" si="6"/>
        <v>-3.2199999999999979E-2</v>
      </c>
      <c r="F18" s="8">
        <v>4</v>
      </c>
      <c r="G18" s="8">
        <v>0.25</v>
      </c>
      <c r="H18" s="9">
        <f t="shared" si="7"/>
        <v>-0.25235109717868326</v>
      </c>
      <c r="I18" s="9">
        <v>0.13</v>
      </c>
      <c r="J18" s="18">
        <f t="shared" si="8"/>
        <v>0.51515527950310591</v>
      </c>
    </row>
    <row r="19" spans="2:19" ht="15.6" x14ac:dyDescent="0.6">
      <c r="B19" s="26" t="s">
        <v>29</v>
      </c>
      <c r="C19" s="27">
        <v>370.2</v>
      </c>
      <c r="D19" s="27">
        <v>605.79999999999995</v>
      </c>
      <c r="E19" s="27">
        <f t="shared" si="6"/>
        <v>-235.59999999999997</v>
      </c>
      <c r="F19" s="28">
        <v>4</v>
      </c>
      <c r="G19" s="28">
        <v>0.25</v>
      </c>
      <c r="H19" s="29">
        <f t="shared" si="7"/>
        <v>-0.38890723010894684</v>
      </c>
      <c r="I19" s="29">
        <v>0.2</v>
      </c>
      <c r="J19" s="30">
        <f t="shared" si="8"/>
        <v>0.51426146010186757</v>
      </c>
    </row>
    <row r="20" spans="2:19" ht="15.6" x14ac:dyDescent="0.6">
      <c r="B20" s="17" t="s">
        <v>88</v>
      </c>
      <c r="C20" s="7">
        <f>0.0041/1000</f>
        <v>4.1000000000000006E-6</v>
      </c>
      <c r="D20" s="7">
        <f>22.8/1000</f>
        <v>2.2800000000000001E-2</v>
      </c>
      <c r="E20" s="7">
        <f t="shared" si="6"/>
        <v>-2.2795900000000001E-2</v>
      </c>
      <c r="F20" s="8">
        <v>4</v>
      </c>
      <c r="G20" s="8">
        <v>0.25</v>
      </c>
      <c r="H20" s="9">
        <f t="shared" si="7"/>
        <v>-0.99982017543859647</v>
      </c>
      <c r="I20" s="9">
        <v>0.41</v>
      </c>
      <c r="J20" s="18">
        <f t="shared" si="8"/>
        <v>0.41007374133067787</v>
      </c>
      <c r="L20" s="4" t="s">
        <v>76</v>
      </c>
      <c r="S20" s="4" t="s">
        <v>38</v>
      </c>
    </row>
    <row r="21" spans="2:19" ht="15.6" x14ac:dyDescent="0.6">
      <c r="B21" s="26" t="s">
        <v>86</v>
      </c>
      <c r="C21" s="27">
        <f>94.7/1000</f>
        <v>9.4700000000000006E-2</v>
      </c>
      <c r="D21" s="27">
        <f>259.3/1000</f>
        <v>0.25930000000000003</v>
      </c>
      <c r="E21" s="27">
        <f t="shared" si="6"/>
        <v>-0.16460000000000002</v>
      </c>
      <c r="F21" s="28">
        <v>4</v>
      </c>
      <c r="G21" s="28">
        <v>0.25</v>
      </c>
      <c r="H21" s="29">
        <f t="shared" si="7"/>
        <v>-0.63478596220593908</v>
      </c>
      <c r="I21" s="29">
        <v>0.32</v>
      </c>
      <c r="J21" s="30">
        <f t="shared" si="8"/>
        <v>0.50410692588092343</v>
      </c>
      <c r="L21" s="4" t="s">
        <v>74</v>
      </c>
      <c r="S21" s="4" t="s">
        <v>54</v>
      </c>
    </row>
    <row r="22" spans="2:19" ht="15.6" x14ac:dyDescent="0.6">
      <c r="B22" s="17" t="s">
        <v>87</v>
      </c>
      <c r="C22" s="7">
        <v>1.3149</v>
      </c>
      <c r="D22" s="7">
        <v>5.3754999999999997</v>
      </c>
      <c r="E22" s="7">
        <f t="shared" si="6"/>
        <v>-4.0606</v>
      </c>
      <c r="F22" s="8">
        <v>4</v>
      </c>
      <c r="G22" s="8">
        <v>0.25</v>
      </c>
      <c r="H22" s="9">
        <f t="shared" si="7"/>
        <v>-0.75539019626081294</v>
      </c>
      <c r="I22" s="9">
        <v>0.38</v>
      </c>
      <c r="J22" s="18">
        <f t="shared" si="8"/>
        <v>0.50305127321085552</v>
      </c>
      <c r="L22" s="4" t="s">
        <v>78</v>
      </c>
      <c r="S22" s="4"/>
    </row>
    <row r="23" spans="2:19" ht="15.6" x14ac:dyDescent="0.6">
      <c r="B23" s="26" t="s">
        <v>30</v>
      </c>
      <c r="C23" s="27">
        <v>41.8</v>
      </c>
      <c r="D23" s="27">
        <v>87.4</v>
      </c>
      <c r="E23" s="27">
        <f t="shared" si="6"/>
        <v>-45.600000000000009</v>
      </c>
      <c r="F23" s="28">
        <v>4</v>
      </c>
      <c r="G23" s="28">
        <v>0.25</v>
      </c>
      <c r="H23" s="29">
        <f t="shared" si="7"/>
        <v>-0.52173913043478271</v>
      </c>
      <c r="I23" s="29">
        <v>0.26</v>
      </c>
      <c r="J23" s="30">
        <f t="shared" si="8"/>
        <v>0.49833333333333324</v>
      </c>
      <c r="L23" s="4"/>
    </row>
    <row r="24" spans="2:19" ht="15.6" x14ac:dyDescent="0.6">
      <c r="B24" s="17" t="s">
        <v>10</v>
      </c>
      <c r="C24" s="7">
        <v>10.199999999999999</v>
      </c>
      <c r="D24" s="7">
        <v>28.1</v>
      </c>
      <c r="E24" s="7">
        <f t="shared" si="6"/>
        <v>-17.900000000000002</v>
      </c>
      <c r="F24" s="8">
        <v>4</v>
      </c>
      <c r="G24" s="8">
        <v>0.25</v>
      </c>
      <c r="H24" s="9">
        <f t="shared" si="7"/>
        <v>-0.63701067615658369</v>
      </c>
      <c r="I24" s="9">
        <v>0.32</v>
      </c>
      <c r="J24" s="18">
        <f t="shared" si="8"/>
        <v>0.50234636871508376</v>
      </c>
    </row>
    <row r="25" spans="2:19" ht="15.6" x14ac:dyDescent="0.6">
      <c r="B25" s="26" t="s">
        <v>31</v>
      </c>
      <c r="C25" s="27">
        <v>1.7</v>
      </c>
      <c r="D25" s="27">
        <v>7.4</v>
      </c>
      <c r="E25" s="27">
        <f t="shared" si="6"/>
        <v>-5.7</v>
      </c>
      <c r="F25" s="28">
        <v>4</v>
      </c>
      <c r="G25" s="28">
        <v>0.25</v>
      </c>
      <c r="H25" s="29">
        <f t="shared" ref="H25:H26" si="9">(C25-D25)/(F25*G25*D25)</f>
        <v>-0.77027027027027029</v>
      </c>
      <c r="I25" s="29">
        <v>0.39</v>
      </c>
      <c r="J25" s="30">
        <f t="shared" ref="J25:J26" si="10">ABS(I25/H25)</f>
        <v>0.50631578947368416</v>
      </c>
      <c r="L25" s="4" t="s">
        <v>73</v>
      </c>
    </row>
    <row r="26" spans="2:19" ht="15.6" x14ac:dyDescent="0.6">
      <c r="B26" s="17" t="s">
        <v>32</v>
      </c>
      <c r="C26" s="7">
        <v>14.8</v>
      </c>
      <c r="D26" s="7">
        <v>22.2</v>
      </c>
      <c r="E26" s="7">
        <f t="shared" ref="E26:E32" si="11">C26-D26</f>
        <v>-7.3999999999999986</v>
      </c>
      <c r="F26" s="8">
        <v>4</v>
      </c>
      <c r="G26" s="8">
        <v>0.25</v>
      </c>
      <c r="H26" s="9">
        <f t="shared" si="9"/>
        <v>-0.33333333333333326</v>
      </c>
      <c r="I26" s="9">
        <v>0.17</v>
      </c>
      <c r="J26" s="18">
        <f t="shared" si="10"/>
        <v>0.51000000000000012</v>
      </c>
    </row>
    <row r="27" spans="2:19" ht="15.6" x14ac:dyDescent="0.6">
      <c r="B27" s="26" t="s">
        <v>9</v>
      </c>
      <c r="C27" s="27">
        <v>79.7</v>
      </c>
      <c r="D27" s="27">
        <v>148.19999999999999</v>
      </c>
      <c r="E27" s="27">
        <f t="shared" si="11"/>
        <v>-68.499999999999986</v>
      </c>
      <c r="F27" s="28">
        <v>4</v>
      </c>
      <c r="G27" s="28">
        <v>0.25</v>
      </c>
      <c r="H27" s="29">
        <f>(C27-D27)/(F27*G27*D27)</f>
        <v>-0.46221322537112003</v>
      </c>
      <c r="I27" s="29">
        <v>0.24</v>
      </c>
      <c r="J27" s="30">
        <f>ABS(I27/H27)</f>
        <v>0.51924087591240886</v>
      </c>
    </row>
    <row r="28" spans="2:19" ht="15.6" x14ac:dyDescent="0.6">
      <c r="B28" s="17" t="s">
        <v>33</v>
      </c>
      <c r="C28" s="7">
        <v>2</v>
      </c>
      <c r="D28" s="7">
        <v>3.4</v>
      </c>
      <c r="E28" s="7">
        <f t="shared" si="11"/>
        <v>-1.4</v>
      </c>
      <c r="F28" s="8">
        <v>4</v>
      </c>
      <c r="G28" s="8">
        <v>0.25</v>
      </c>
      <c r="H28" s="9">
        <f>(C28-D28)/(F28*G28*D28)</f>
        <v>-0.41176470588235292</v>
      </c>
      <c r="I28" s="9">
        <v>0.2</v>
      </c>
      <c r="J28" s="18">
        <f>ABS(I28/H28)</f>
        <v>0.48571428571428577</v>
      </c>
    </row>
    <row r="29" spans="2:19" ht="15.6" x14ac:dyDescent="0.6">
      <c r="B29" s="26" t="s">
        <v>34</v>
      </c>
      <c r="C29" s="27">
        <v>1.1000000000000001</v>
      </c>
      <c r="D29" s="27">
        <v>2.2999999999999998</v>
      </c>
      <c r="E29" s="27">
        <f t="shared" si="11"/>
        <v>-1.1999999999999997</v>
      </c>
      <c r="F29" s="28">
        <v>4</v>
      </c>
      <c r="G29" s="28">
        <v>0.25</v>
      </c>
      <c r="H29" s="29">
        <f>(C29-D29)/(F29*G29*D29)</f>
        <v>-0.52173913043478248</v>
      </c>
      <c r="I29" s="29">
        <v>0.27</v>
      </c>
      <c r="J29" s="30">
        <f>ABS(I29/H29)</f>
        <v>0.51750000000000018</v>
      </c>
    </row>
    <row r="30" spans="2:19" ht="15.6" x14ac:dyDescent="0.6">
      <c r="B30" s="17" t="s">
        <v>35</v>
      </c>
      <c r="C30" s="7">
        <f>40.4/1000</f>
        <v>4.0399999999999998E-2</v>
      </c>
      <c r="D30" s="7">
        <f>803.3/1000</f>
        <v>0.8032999999999999</v>
      </c>
      <c r="E30" s="7">
        <f t="shared" si="11"/>
        <v>-0.76289999999999991</v>
      </c>
      <c r="F30" s="8">
        <v>4</v>
      </c>
      <c r="G30" s="8">
        <v>0.25</v>
      </c>
      <c r="H30" s="11">
        <f t="shared" ref="H30:H34" si="12">(C30-D30)/(F30*G30*D30)</f>
        <v>-0.94970745674094359</v>
      </c>
      <c r="I30" s="9">
        <v>0.48</v>
      </c>
      <c r="J30" s="18">
        <f t="shared" ref="J30:J62" si="13">ABS(I30/H30)</f>
        <v>0.50541879669681478</v>
      </c>
    </row>
    <row r="31" spans="2:19" ht="15.6" x14ac:dyDescent="0.6">
      <c r="B31" s="26" t="s">
        <v>36</v>
      </c>
      <c r="C31" s="27">
        <f>2.8/1000</f>
        <v>2.8E-3</v>
      </c>
      <c r="D31" s="27">
        <f>237.3/1000</f>
        <v>0.23730000000000001</v>
      </c>
      <c r="E31" s="27">
        <f t="shared" si="11"/>
        <v>-0.23450000000000001</v>
      </c>
      <c r="F31" s="28">
        <v>4</v>
      </c>
      <c r="G31" s="28">
        <v>0.25</v>
      </c>
      <c r="H31" s="32">
        <f t="shared" si="12"/>
        <v>-0.98820058997050153</v>
      </c>
      <c r="I31" s="29">
        <f t="shared" ref="I31:I36" si="14">ABS(H31/2)</f>
        <v>0.49410029498525077</v>
      </c>
      <c r="J31" s="33">
        <f t="shared" si="13"/>
        <v>0.5</v>
      </c>
    </row>
    <row r="32" spans="2:19" ht="15.6" x14ac:dyDescent="0.6">
      <c r="B32" s="17" t="s">
        <v>37</v>
      </c>
      <c r="C32" s="7">
        <f>567.2/1000</f>
        <v>0.56720000000000004</v>
      </c>
      <c r="D32" s="7">
        <v>1.5</v>
      </c>
      <c r="E32" s="7">
        <f t="shared" si="11"/>
        <v>-0.93279999999999996</v>
      </c>
      <c r="F32" s="8">
        <v>4</v>
      </c>
      <c r="G32" s="8">
        <v>0.25</v>
      </c>
      <c r="H32" s="11">
        <f t="shared" si="12"/>
        <v>-0.62186666666666668</v>
      </c>
      <c r="I32" s="9">
        <v>0.31</v>
      </c>
      <c r="J32" s="18">
        <f t="shared" si="13"/>
        <v>0.49849914236706688</v>
      </c>
      <c r="L32" s="4" t="s">
        <v>67</v>
      </c>
    </row>
    <row r="33" spans="2:19" ht="15.6" x14ac:dyDescent="0.6">
      <c r="B33" s="26" t="s">
        <v>7</v>
      </c>
      <c r="C33" s="27">
        <f>6.27/1000</f>
        <v>6.2699999999999995E-3</v>
      </c>
      <c r="D33" s="27">
        <f>22.13/1000</f>
        <v>2.213E-2</v>
      </c>
      <c r="E33" s="27">
        <f t="shared" ref="E33:E41" si="15">C33-D33</f>
        <v>-1.5859999999999999E-2</v>
      </c>
      <c r="F33" s="28">
        <v>4</v>
      </c>
      <c r="G33" s="28">
        <v>0.25</v>
      </c>
      <c r="H33" s="29">
        <f>(C33-D33)/(F33*G33*D33)</f>
        <v>-0.71667419792137366</v>
      </c>
      <c r="I33" s="29">
        <v>0.37</v>
      </c>
      <c r="J33" s="30">
        <f>ABS(I33/H33)</f>
        <v>0.51627364438839851</v>
      </c>
    </row>
    <row r="34" spans="2:19" x14ac:dyDescent="0.55000000000000004">
      <c r="B34" s="20" t="s">
        <v>39</v>
      </c>
      <c r="C34" s="7">
        <f>53.4/1000</f>
        <v>5.3399999999999996E-2</v>
      </c>
      <c r="D34" s="7">
        <f>733.2/1000</f>
        <v>0.73320000000000007</v>
      </c>
      <c r="E34" s="7">
        <f t="shared" si="15"/>
        <v>-0.67980000000000007</v>
      </c>
      <c r="F34" s="8">
        <v>4</v>
      </c>
      <c r="G34" s="8">
        <v>0.25</v>
      </c>
      <c r="H34" s="9">
        <f t="shared" si="12"/>
        <v>-0.92716857610474634</v>
      </c>
      <c r="I34" s="9">
        <v>0.47</v>
      </c>
      <c r="J34" s="18">
        <f t="shared" si="13"/>
        <v>0.50691968225948802</v>
      </c>
    </row>
    <row r="35" spans="2:19" x14ac:dyDescent="0.55000000000000004">
      <c r="B35" s="34" t="s">
        <v>40</v>
      </c>
      <c r="C35" s="27">
        <f>26.9/1000</f>
        <v>2.69E-2</v>
      </c>
      <c r="D35" s="27">
        <f>41.1/1000</f>
        <v>4.1100000000000005E-2</v>
      </c>
      <c r="E35" s="27">
        <f t="shared" si="15"/>
        <v>-1.4200000000000004E-2</v>
      </c>
      <c r="F35" s="28">
        <v>4</v>
      </c>
      <c r="G35" s="28">
        <v>0.25</v>
      </c>
      <c r="H35" s="29">
        <f t="shared" ref="H35" si="16">(C35-D35)/(F35*G35*D35)</f>
        <v>-0.34549878345498791</v>
      </c>
      <c r="I35" s="29">
        <f t="shared" si="14"/>
        <v>0.17274939172749396</v>
      </c>
      <c r="J35" s="33">
        <f t="shared" si="13"/>
        <v>0.5</v>
      </c>
    </row>
    <row r="36" spans="2:19" x14ac:dyDescent="0.55000000000000004">
      <c r="B36" s="20" t="s">
        <v>41</v>
      </c>
      <c r="C36" s="7">
        <v>27.7</v>
      </c>
      <c r="D36" s="7">
        <v>52.5</v>
      </c>
      <c r="E36" s="7">
        <f t="shared" si="15"/>
        <v>-24.8</v>
      </c>
      <c r="F36" s="8">
        <v>4</v>
      </c>
      <c r="G36" s="8">
        <v>0.25</v>
      </c>
      <c r="H36" s="9">
        <f t="shared" ref="H36" si="17">(C36-D36)/(F36*G36*D36)</f>
        <v>-0.4723809523809524</v>
      </c>
      <c r="I36" s="9">
        <f t="shared" si="14"/>
        <v>0.2361904761904762</v>
      </c>
      <c r="J36" s="19">
        <f t="shared" si="13"/>
        <v>0.5</v>
      </c>
    </row>
    <row r="37" spans="2:19" x14ac:dyDescent="0.55000000000000004">
      <c r="B37" s="34" t="s">
        <v>42</v>
      </c>
      <c r="C37" s="27">
        <f>48/1000</f>
        <v>4.8000000000000001E-2</v>
      </c>
      <c r="D37" s="27">
        <f>234.5/1000</f>
        <v>0.23449999999999999</v>
      </c>
      <c r="E37" s="27">
        <f t="shared" si="15"/>
        <v>-0.1865</v>
      </c>
      <c r="F37" s="28">
        <v>4</v>
      </c>
      <c r="G37" s="28">
        <v>0.25</v>
      </c>
      <c r="H37" s="29">
        <f t="shared" ref="H37" si="18">(C37-D37)/(F37*G37*D37)</f>
        <v>-0.79530916844349686</v>
      </c>
      <c r="I37" s="29">
        <v>0.4</v>
      </c>
      <c r="J37" s="30">
        <f t="shared" si="13"/>
        <v>0.50294906166219833</v>
      </c>
    </row>
    <row r="38" spans="2:19" x14ac:dyDescent="0.55000000000000004">
      <c r="B38" s="20" t="s">
        <v>89</v>
      </c>
      <c r="C38" s="7">
        <f>53.6/1000</f>
        <v>5.3600000000000002E-2</v>
      </c>
      <c r="D38" s="7">
        <f>136.5/1000</f>
        <v>0.13650000000000001</v>
      </c>
      <c r="E38" s="7">
        <f t="shared" si="15"/>
        <v>-8.2900000000000001E-2</v>
      </c>
      <c r="F38" s="8">
        <v>4</v>
      </c>
      <c r="G38" s="8">
        <v>0.25</v>
      </c>
      <c r="H38" s="9">
        <f t="shared" ref="H38" si="19">(C38-D38)/(F38*G38*D38)</f>
        <v>-0.60732600732600728</v>
      </c>
      <c r="I38" s="9">
        <v>0.31</v>
      </c>
      <c r="J38" s="18">
        <f t="shared" si="13"/>
        <v>0.51043425814234022</v>
      </c>
      <c r="L38" s="4" t="s">
        <v>80</v>
      </c>
      <c r="S38" s="4" t="s">
        <v>51</v>
      </c>
    </row>
    <row r="39" spans="2:19" x14ac:dyDescent="0.55000000000000004">
      <c r="B39" s="34" t="s">
        <v>43</v>
      </c>
      <c r="C39" s="27">
        <f>149.7/1000</f>
        <v>0.1497</v>
      </c>
      <c r="D39" s="27">
        <f>216.1/1000</f>
        <v>0.21609999999999999</v>
      </c>
      <c r="E39" s="27">
        <f t="shared" si="15"/>
        <v>-6.6399999999999987E-2</v>
      </c>
      <c r="F39" s="28">
        <v>4</v>
      </c>
      <c r="G39" s="28">
        <v>0.25</v>
      </c>
      <c r="H39" s="29">
        <f t="shared" ref="H39" si="20">(C39-D39)/(F39*G39*D39)</f>
        <v>-0.30726515502082363</v>
      </c>
      <c r="I39" s="29">
        <v>0.16</v>
      </c>
      <c r="J39" s="30">
        <f t="shared" si="13"/>
        <v>0.52072289156626517</v>
      </c>
    </row>
    <row r="40" spans="2:19" x14ac:dyDescent="0.55000000000000004">
      <c r="B40" s="20" t="s">
        <v>44</v>
      </c>
      <c r="C40" s="7">
        <f>77/1000</f>
        <v>7.6999999999999999E-2</v>
      </c>
      <c r="D40" s="7">
        <f>656.5/1000</f>
        <v>0.65649999999999997</v>
      </c>
      <c r="E40" s="7">
        <f t="shared" si="15"/>
        <v>-0.57950000000000002</v>
      </c>
      <c r="F40" s="8">
        <v>4</v>
      </c>
      <c r="G40" s="8">
        <v>0.25</v>
      </c>
      <c r="H40" s="9">
        <f t="shared" ref="H40" si="21">(C40-D40)/(F40*G40*D40)</f>
        <v>-0.88271134805788276</v>
      </c>
      <c r="I40" s="9">
        <v>0.44</v>
      </c>
      <c r="J40" s="18">
        <f t="shared" si="13"/>
        <v>0.49846419327006036</v>
      </c>
    </row>
    <row r="41" spans="2:19" x14ac:dyDescent="0.55000000000000004">
      <c r="B41" s="34" t="s">
        <v>45</v>
      </c>
      <c r="C41" s="27">
        <f>160.5/1000</f>
        <v>0.1605</v>
      </c>
      <c r="D41" s="27">
        <f>275.2/1000</f>
        <v>0.2752</v>
      </c>
      <c r="E41" s="27">
        <f t="shared" si="15"/>
        <v>-0.1147</v>
      </c>
      <c r="F41" s="28">
        <v>4</v>
      </c>
      <c r="G41" s="28">
        <v>0.25</v>
      </c>
      <c r="H41" s="29">
        <f>(C41-D41)/(F41*G41*D41)</f>
        <v>-0.41678779069767441</v>
      </c>
      <c r="I41" s="29">
        <v>0.21</v>
      </c>
      <c r="J41" s="30">
        <f t="shared" si="13"/>
        <v>0.50385353095030516</v>
      </c>
    </row>
    <row r="42" spans="2:19" x14ac:dyDescent="0.55000000000000004">
      <c r="B42" s="20" t="s">
        <v>90</v>
      </c>
      <c r="C42" s="7">
        <f>0.9/1000</f>
        <v>8.9999999999999998E-4</v>
      </c>
      <c r="D42" s="7">
        <f>2.2/1000</f>
        <v>2.2000000000000001E-3</v>
      </c>
      <c r="E42" s="7">
        <f t="shared" ref="E42:E43" si="22">C42-D42</f>
        <v>-1.3000000000000002E-3</v>
      </c>
      <c r="F42" s="8">
        <v>4</v>
      </c>
      <c r="G42" s="8">
        <v>0.25</v>
      </c>
      <c r="H42" s="9">
        <f>(C42-D42)/(F42*G42*D42)</f>
        <v>-0.59090909090909094</v>
      </c>
      <c r="I42" s="9">
        <v>0.3</v>
      </c>
      <c r="J42" s="18">
        <f t="shared" si="13"/>
        <v>0.50769230769230766</v>
      </c>
      <c r="L42" s="4" t="s">
        <v>81</v>
      </c>
    </row>
    <row r="43" spans="2:19" x14ac:dyDescent="0.55000000000000004">
      <c r="B43" s="34" t="s">
        <v>53</v>
      </c>
      <c r="C43" s="27">
        <v>2.9</v>
      </c>
      <c r="D43" s="27">
        <v>4.5999999999999996</v>
      </c>
      <c r="E43" s="27">
        <f t="shared" si="22"/>
        <v>-1.6999999999999997</v>
      </c>
      <c r="F43" s="28">
        <v>4</v>
      </c>
      <c r="G43" s="28">
        <v>0.25</v>
      </c>
      <c r="H43" s="29">
        <f t="shared" ref="H43" si="23">(C43-D43)/(F43*G43*D43)</f>
        <v>-0.36956521739130432</v>
      </c>
      <c r="I43" s="29">
        <v>0.18</v>
      </c>
      <c r="J43" s="30">
        <f t="shared" si="13"/>
        <v>0.48705882352941177</v>
      </c>
    </row>
    <row r="44" spans="2:19" x14ac:dyDescent="0.55000000000000004">
      <c r="B44" s="20" t="s">
        <v>55</v>
      </c>
      <c r="C44" s="7">
        <v>4.2</v>
      </c>
      <c r="D44" s="7">
        <v>5.7</v>
      </c>
      <c r="E44" s="7">
        <f t="shared" ref="E44" si="24">C44-D44</f>
        <v>-1.5</v>
      </c>
      <c r="F44" s="8">
        <v>4</v>
      </c>
      <c r="G44" s="8">
        <v>0.25</v>
      </c>
      <c r="H44" s="9">
        <f t="shared" ref="H44" si="25">(C44-D44)/(F44*G44*D44)</f>
        <v>-0.26315789473684209</v>
      </c>
      <c r="I44" s="9">
        <v>0.14000000000000001</v>
      </c>
      <c r="J44" s="18">
        <f t="shared" si="13"/>
        <v>0.53200000000000003</v>
      </c>
    </row>
    <row r="45" spans="2:19" x14ac:dyDescent="0.55000000000000004">
      <c r="B45" s="34" t="s">
        <v>91</v>
      </c>
      <c r="C45" s="27">
        <f>60.6/1000</f>
        <v>6.0600000000000001E-2</v>
      </c>
      <c r="D45" s="27">
        <f>173.7/1000</f>
        <v>0.17369999999999999</v>
      </c>
      <c r="E45" s="27">
        <f t="shared" ref="E45:E46" si="26">C45-D45</f>
        <v>-0.11309999999999999</v>
      </c>
      <c r="F45" s="28">
        <v>4</v>
      </c>
      <c r="G45" s="28">
        <v>0.25</v>
      </c>
      <c r="H45" s="29">
        <f t="shared" ref="H45:H46" si="27">(C45-D45)/(F45*G45*D45)</f>
        <v>-0.65112262521588948</v>
      </c>
      <c r="I45" s="29">
        <v>0.33</v>
      </c>
      <c r="J45" s="30">
        <f t="shared" si="13"/>
        <v>0.50681697612732102</v>
      </c>
      <c r="L45" s="4" t="s">
        <v>82</v>
      </c>
    </row>
    <row r="46" spans="2:19" x14ac:dyDescent="0.55000000000000004">
      <c r="B46" s="20" t="s">
        <v>56</v>
      </c>
      <c r="C46" s="7">
        <v>4.5999999999999996</v>
      </c>
      <c r="D46" s="7">
        <v>6.6</v>
      </c>
      <c r="E46" s="7">
        <f t="shared" si="26"/>
        <v>-2</v>
      </c>
      <c r="F46" s="8">
        <v>4</v>
      </c>
      <c r="G46" s="8">
        <v>0.25</v>
      </c>
      <c r="H46" s="9">
        <f t="shared" si="27"/>
        <v>-0.30303030303030304</v>
      </c>
      <c r="I46" s="9">
        <v>0.15</v>
      </c>
      <c r="J46" s="18">
        <f t="shared" si="13"/>
        <v>0.495</v>
      </c>
    </row>
    <row r="47" spans="2:19" x14ac:dyDescent="0.55000000000000004">
      <c r="B47" s="34" t="s">
        <v>57</v>
      </c>
      <c r="C47" s="27">
        <v>2.1</v>
      </c>
      <c r="D47" s="27">
        <v>5.0999999999999996</v>
      </c>
      <c r="E47" s="27">
        <f t="shared" ref="E47" si="28">C47-D47</f>
        <v>-2.9999999999999996</v>
      </c>
      <c r="F47" s="28">
        <v>4</v>
      </c>
      <c r="G47" s="28">
        <v>0.25</v>
      </c>
      <c r="H47" s="29">
        <f t="shared" ref="H47" si="29">(C47-D47)/(F47*G47*D47)</f>
        <v>-0.58823529411764697</v>
      </c>
      <c r="I47" s="29">
        <v>0.28999999999999998</v>
      </c>
      <c r="J47" s="30">
        <f t="shared" si="13"/>
        <v>0.49300000000000005</v>
      </c>
    </row>
    <row r="48" spans="2:19" x14ac:dyDescent="0.55000000000000004">
      <c r="B48" s="20" t="s">
        <v>58</v>
      </c>
      <c r="C48" s="7">
        <v>9.3000000000000007</v>
      </c>
      <c r="D48" s="7">
        <v>14.2</v>
      </c>
      <c r="E48" s="7">
        <f t="shared" ref="E48" si="30">C48-D48</f>
        <v>-4.8999999999999986</v>
      </c>
      <c r="F48" s="8">
        <v>4</v>
      </c>
      <c r="G48" s="8">
        <v>0.25</v>
      </c>
      <c r="H48" s="9">
        <f t="shared" ref="H48" si="31">(C48-D48)/(F48*G48*D48)</f>
        <v>-0.3450704225352112</v>
      </c>
      <c r="I48" s="9">
        <v>0.17</v>
      </c>
      <c r="J48" s="18">
        <f t="shared" si="13"/>
        <v>0.49265306122448993</v>
      </c>
    </row>
    <row r="49" spans="2:12" x14ac:dyDescent="0.55000000000000004">
      <c r="B49" s="34" t="s">
        <v>92</v>
      </c>
      <c r="C49" s="27">
        <f>209.9/1000</f>
        <v>0.2099</v>
      </c>
      <c r="D49" s="27">
        <f>814.4/1000</f>
        <v>0.81440000000000001</v>
      </c>
      <c r="E49" s="27">
        <f t="shared" ref="E49" si="32">C49-D49</f>
        <v>-0.60450000000000004</v>
      </c>
      <c r="F49" s="28">
        <v>4</v>
      </c>
      <c r="G49" s="28">
        <v>0.25</v>
      </c>
      <c r="H49" s="29">
        <f t="shared" ref="H49" si="33">(C49-D49)/(F49*G49*D49)</f>
        <v>-0.74226424361493126</v>
      </c>
      <c r="I49" s="29">
        <v>0.37</v>
      </c>
      <c r="J49" s="30">
        <f t="shared" si="13"/>
        <v>0.49847477253928862</v>
      </c>
    </row>
    <row r="50" spans="2:12" x14ac:dyDescent="0.55000000000000004">
      <c r="B50" s="20" t="s">
        <v>59</v>
      </c>
      <c r="C50" s="7">
        <v>5.8</v>
      </c>
      <c r="D50" s="7">
        <v>14.7</v>
      </c>
      <c r="E50" s="7">
        <f t="shared" ref="E50" si="34">C50-D50</f>
        <v>-8.8999999999999986</v>
      </c>
      <c r="F50" s="8">
        <v>4</v>
      </c>
      <c r="G50" s="8">
        <v>0.25</v>
      </c>
      <c r="H50" s="9">
        <f t="shared" ref="H50" si="35">(C50-D50)/(F50*G50*D50)</f>
        <v>-0.60544217687074819</v>
      </c>
      <c r="I50" s="9">
        <v>0.3</v>
      </c>
      <c r="J50" s="18">
        <f t="shared" si="13"/>
        <v>0.49550561797752818</v>
      </c>
    </row>
    <row r="51" spans="2:12" x14ac:dyDescent="0.55000000000000004">
      <c r="B51" s="34" t="s">
        <v>60</v>
      </c>
      <c r="C51" s="27">
        <v>65.5</v>
      </c>
      <c r="D51" s="27">
        <v>131.5</v>
      </c>
      <c r="E51" s="27">
        <f t="shared" ref="E51:E62" si="36">C51-D51</f>
        <v>-66</v>
      </c>
      <c r="F51" s="28">
        <v>4</v>
      </c>
      <c r="G51" s="28">
        <v>0.25</v>
      </c>
      <c r="H51" s="29">
        <f t="shared" ref="H51:H62" si="37">(C51-D51)/(F51*G51*D51)</f>
        <v>-0.50190114068441061</v>
      </c>
      <c r="I51" s="29">
        <v>0.25</v>
      </c>
      <c r="J51" s="30">
        <f t="shared" si="13"/>
        <v>0.49810606060606066</v>
      </c>
      <c r="L51" s="4" t="s">
        <v>62</v>
      </c>
    </row>
    <row r="52" spans="2:12" x14ac:dyDescent="0.55000000000000004">
      <c r="B52" s="20" t="s">
        <v>61</v>
      </c>
      <c r="C52" s="7">
        <f>368.2/1000</f>
        <v>0.36819999999999997</v>
      </c>
      <c r="D52" s="7">
        <v>3</v>
      </c>
      <c r="E52" s="7">
        <f t="shared" si="36"/>
        <v>-2.6318000000000001</v>
      </c>
      <c r="F52" s="8">
        <v>4</v>
      </c>
      <c r="G52" s="8">
        <v>0.25</v>
      </c>
      <c r="H52" s="9">
        <f t="shared" si="37"/>
        <v>-0.87726666666666675</v>
      </c>
      <c r="I52" s="9">
        <v>0.44</v>
      </c>
      <c r="J52" s="18">
        <f t="shared" si="13"/>
        <v>0.50155786913899225</v>
      </c>
    </row>
    <row r="53" spans="2:12" x14ac:dyDescent="0.55000000000000004">
      <c r="B53" s="34" t="s">
        <v>63</v>
      </c>
      <c r="C53" s="27">
        <v>25</v>
      </c>
      <c r="D53" s="27">
        <v>63.4</v>
      </c>
      <c r="E53" s="27">
        <f t="shared" si="36"/>
        <v>-38.4</v>
      </c>
      <c r="F53" s="28">
        <v>4</v>
      </c>
      <c r="G53" s="28">
        <v>0.25</v>
      </c>
      <c r="H53" s="29">
        <f t="shared" si="37"/>
        <v>-0.60567823343848581</v>
      </c>
      <c r="I53" s="29">
        <v>0.31</v>
      </c>
      <c r="J53" s="30">
        <f t="shared" si="13"/>
        <v>0.51182291666666668</v>
      </c>
    </row>
    <row r="54" spans="2:12" x14ac:dyDescent="0.55000000000000004">
      <c r="B54" s="20" t="s">
        <v>93</v>
      </c>
      <c r="C54" s="7">
        <f>2/1000</f>
        <v>2E-3</v>
      </c>
      <c r="D54" s="7">
        <f>10.7/1000</f>
        <v>1.0699999999999999E-2</v>
      </c>
      <c r="E54" s="7">
        <f t="shared" si="36"/>
        <v>-8.6999999999999994E-3</v>
      </c>
      <c r="F54" s="8">
        <v>4</v>
      </c>
      <c r="G54" s="8">
        <v>0.25</v>
      </c>
      <c r="H54" s="9">
        <f t="shared" si="37"/>
        <v>-0.81308411214953269</v>
      </c>
      <c r="I54" s="9">
        <v>0.41</v>
      </c>
      <c r="J54" s="18">
        <f t="shared" si="13"/>
        <v>0.50425287356321835</v>
      </c>
      <c r="L54" s="4" t="s">
        <v>83</v>
      </c>
    </row>
    <row r="55" spans="2:12" x14ac:dyDescent="0.55000000000000004">
      <c r="B55" s="34" t="s">
        <v>64</v>
      </c>
      <c r="C55" s="27">
        <v>42.3</v>
      </c>
      <c r="D55" s="27">
        <v>116.3</v>
      </c>
      <c r="E55" s="27">
        <f t="shared" si="36"/>
        <v>-74</v>
      </c>
      <c r="F55" s="28">
        <v>4</v>
      </c>
      <c r="G55" s="28">
        <v>0.25</v>
      </c>
      <c r="H55" s="29">
        <f t="shared" si="37"/>
        <v>-0.63628546861564916</v>
      </c>
      <c r="I55" s="29">
        <v>0.32</v>
      </c>
      <c r="J55" s="30">
        <f t="shared" si="13"/>
        <v>0.50291891891891893</v>
      </c>
    </row>
    <row r="56" spans="2:12" x14ac:dyDescent="0.55000000000000004">
      <c r="B56" s="20" t="s">
        <v>65</v>
      </c>
      <c r="C56" s="7">
        <v>17.7</v>
      </c>
      <c r="D56" s="7">
        <v>63.3</v>
      </c>
      <c r="E56" s="7">
        <f t="shared" si="36"/>
        <v>-45.599999999999994</v>
      </c>
      <c r="F56" s="8">
        <v>4</v>
      </c>
      <c r="G56" s="8">
        <v>0.25</v>
      </c>
      <c r="H56" s="9">
        <f t="shared" si="37"/>
        <v>-0.72037914691943117</v>
      </c>
      <c r="I56" s="9">
        <v>0.36</v>
      </c>
      <c r="J56" s="18">
        <f t="shared" si="13"/>
        <v>0.4997368421052632</v>
      </c>
    </row>
    <row r="57" spans="2:12" x14ac:dyDescent="0.55000000000000004">
      <c r="B57" s="34" t="s">
        <v>66</v>
      </c>
      <c r="C57" s="27">
        <f>503.6/1000</f>
        <v>0.50360000000000005</v>
      </c>
      <c r="D57" s="27">
        <v>1.1000000000000001</v>
      </c>
      <c r="E57" s="27">
        <f t="shared" si="36"/>
        <v>-0.59640000000000004</v>
      </c>
      <c r="F57" s="28">
        <v>4</v>
      </c>
      <c r="G57" s="28">
        <v>0.25</v>
      </c>
      <c r="H57" s="29">
        <f t="shared" si="37"/>
        <v>-0.54218181818181821</v>
      </c>
      <c r="I57" s="29">
        <v>0.28000000000000003</v>
      </c>
      <c r="J57" s="30">
        <f t="shared" si="13"/>
        <v>0.51643192488262912</v>
      </c>
      <c r="L57" s="4" t="s">
        <v>68</v>
      </c>
    </row>
    <row r="58" spans="2:12" x14ac:dyDescent="0.55000000000000004">
      <c r="B58" s="20" t="s">
        <v>94</v>
      </c>
      <c r="C58" s="7">
        <f>7.6/1000</f>
        <v>7.6E-3</v>
      </c>
      <c r="D58" s="7">
        <f>13.7/1000</f>
        <v>1.3699999999999999E-2</v>
      </c>
      <c r="E58" s="7">
        <f t="shared" si="36"/>
        <v>-6.0999999999999987E-3</v>
      </c>
      <c r="F58" s="8">
        <v>4</v>
      </c>
      <c r="G58" s="8">
        <v>0.25</v>
      </c>
      <c r="H58" s="9">
        <f t="shared" si="37"/>
        <v>-0.4452554744525547</v>
      </c>
      <c r="I58" s="9">
        <v>0.22</v>
      </c>
      <c r="J58" s="18">
        <f t="shared" si="13"/>
        <v>0.49409836065573776</v>
      </c>
      <c r="L58" s="4" t="s">
        <v>84</v>
      </c>
    </row>
    <row r="59" spans="2:12" x14ac:dyDescent="0.55000000000000004">
      <c r="B59" s="34" t="s">
        <v>69</v>
      </c>
      <c r="C59" s="27">
        <v>4.2</v>
      </c>
      <c r="D59" s="27">
        <v>6</v>
      </c>
      <c r="E59" s="27">
        <f t="shared" si="36"/>
        <v>-1.7999999999999998</v>
      </c>
      <c r="F59" s="28">
        <v>4</v>
      </c>
      <c r="G59" s="28">
        <v>0.25</v>
      </c>
      <c r="H59" s="29">
        <f t="shared" si="37"/>
        <v>-0.3</v>
      </c>
      <c r="I59" s="29">
        <v>0.15</v>
      </c>
      <c r="J59" s="30">
        <f t="shared" si="13"/>
        <v>0.5</v>
      </c>
    </row>
    <row r="60" spans="2:12" x14ac:dyDescent="0.55000000000000004">
      <c r="B60" s="20" t="s">
        <v>70</v>
      </c>
      <c r="C60" s="7">
        <v>13.1</v>
      </c>
      <c r="D60" s="7">
        <v>136.6</v>
      </c>
      <c r="E60" s="7">
        <f t="shared" si="36"/>
        <v>-123.5</v>
      </c>
      <c r="F60" s="8">
        <v>4</v>
      </c>
      <c r="G60" s="8">
        <v>0.25</v>
      </c>
      <c r="H60" s="9">
        <f t="shared" si="37"/>
        <v>-0.90409956076134701</v>
      </c>
      <c r="I60" s="9">
        <v>0.46</v>
      </c>
      <c r="J60" s="18">
        <f t="shared" si="13"/>
        <v>0.50879352226720653</v>
      </c>
    </row>
    <row r="61" spans="2:12" x14ac:dyDescent="0.55000000000000004">
      <c r="B61" s="34" t="s">
        <v>71</v>
      </c>
      <c r="C61" s="27">
        <f>113.8/1000</f>
        <v>0.1138</v>
      </c>
      <c r="D61" s="27">
        <f>169.1/1000</f>
        <v>0.1691</v>
      </c>
      <c r="E61" s="27">
        <f t="shared" si="36"/>
        <v>-5.5300000000000002E-2</v>
      </c>
      <c r="F61" s="28">
        <v>4</v>
      </c>
      <c r="G61" s="28">
        <v>0.25</v>
      </c>
      <c r="H61" s="29">
        <f t="shared" si="37"/>
        <v>-0.32702542874039031</v>
      </c>
      <c r="I61" s="29">
        <v>0.17</v>
      </c>
      <c r="J61" s="30">
        <f t="shared" si="13"/>
        <v>0.51983725135623871</v>
      </c>
    </row>
    <row r="62" spans="2:12" ht="14.7" thickBot="1" x14ac:dyDescent="0.6">
      <c r="B62" s="21" t="s">
        <v>72</v>
      </c>
      <c r="C62" s="22">
        <f>43.8/1000</f>
        <v>4.3799999999999999E-2</v>
      </c>
      <c r="D62" s="22">
        <f>67.8/1000</f>
        <v>6.7799999999999999E-2</v>
      </c>
      <c r="E62" s="22">
        <f t="shared" si="36"/>
        <v>-2.4E-2</v>
      </c>
      <c r="F62" s="23">
        <v>4</v>
      </c>
      <c r="G62" s="23">
        <v>0.25</v>
      </c>
      <c r="H62" s="24">
        <f t="shared" si="37"/>
        <v>-0.35398230088495575</v>
      </c>
      <c r="I62" s="24">
        <v>0.18</v>
      </c>
      <c r="J62" s="25">
        <f t="shared" si="13"/>
        <v>0.50849999999999995</v>
      </c>
    </row>
    <row r="63" spans="2:12" x14ac:dyDescent="0.55000000000000004">
      <c r="E63" s="3"/>
      <c r="F63" s="2"/>
      <c r="G63" s="2"/>
      <c r="H63" s="5"/>
      <c r="I63" s="5"/>
      <c r="J63" s="6"/>
    </row>
    <row r="64" spans="2:12" x14ac:dyDescent="0.55000000000000004">
      <c r="E64" s="3"/>
      <c r="F64" s="2"/>
      <c r="G64" s="2"/>
      <c r="H64" s="5"/>
      <c r="I64" s="5"/>
      <c r="J64" s="6"/>
    </row>
    <row r="65" spans="3:10" x14ac:dyDescent="0.55000000000000004">
      <c r="C65" s="3"/>
      <c r="D65" s="3"/>
      <c r="E65" s="3"/>
      <c r="F65" s="2"/>
      <c r="G65" s="2"/>
      <c r="H65" s="5"/>
      <c r="I65" s="5"/>
      <c r="J65" s="6"/>
    </row>
    <row r="66" spans="3:10" x14ac:dyDescent="0.55000000000000004">
      <c r="E66" s="3"/>
      <c r="F66" s="2"/>
      <c r="G66" s="2"/>
      <c r="H66" s="5"/>
      <c r="I66" s="5"/>
      <c r="J66" s="6"/>
    </row>
    <row r="67" spans="3:10" x14ac:dyDescent="0.55000000000000004">
      <c r="I67" s="5"/>
      <c r="J67" s="6"/>
    </row>
    <row r="68" spans="3:10" x14ac:dyDescent="0.55000000000000004">
      <c r="I68" s="5"/>
    </row>
    <row r="69" spans="3:10" x14ac:dyDescent="0.55000000000000004">
      <c r="I69" s="5"/>
    </row>
  </sheetData>
  <mergeCells count="9">
    <mergeCell ref="C4:C5"/>
    <mergeCell ref="D4:D5"/>
    <mergeCell ref="B4:B5"/>
    <mergeCell ref="J4:J5"/>
    <mergeCell ref="E4:E5"/>
    <mergeCell ref="I4:I5"/>
    <mergeCell ref="G4:G5"/>
    <mergeCell ref="F4:F5"/>
    <mergeCell ref="H4:H5"/>
  </mergeCells>
  <hyperlinks>
    <hyperlink ref="L14" r:id="rId1" xr:uid="{16B19814-0A34-4115-B71D-67A4F0C0F778}"/>
    <hyperlink ref="S17" r:id="rId2" xr:uid="{1E05252A-3365-4690-A5C7-6739E3D16ADA}"/>
    <hyperlink ref="L6" r:id="rId3" xr:uid="{179832A1-F152-425D-AA8B-784439D3A1E5}"/>
    <hyperlink ref="L8" r:id="rId4" xr:uid="{5E17BF53-29BC-4166-BCDA-C6B3B7D07E05}"/>
    <hyperlink ref="L7" r:id="rId5" xr:uid="{565318AF-7AE4-415C-A8AA-CCF1B398CA37}"/>
    <hyperlink ref="L10" r:id="rId6" xr:uid="{F4A1498A-60C9-4837-990A-CF4A344F3E1F}"/>
    <hyperlink ref="S38" r:id="rId7" xr:uid="{D6572EE7-5760-4FE9-A508-3B5D2637AF95}"/>
    <hyperlink ref="S21" r:id="rId8" xr:uid="{F82D84D7-E266-4798-9D62-79FF0D233E79}"/>
    <hyperlink ref="L51" r:id="rId9" xr:uid="{0D887297-FD1C-4BD7-812F-B6DEA8CA8C2A}"/>
    <hyperlink ref="L32" r:id="rId10" xr:uid="{3157A4D0-743B-4796-95DC-A6BDD7791444}"/>
    <hyperlink ref="L57" r:id="rId11" xr:uid="{865EA844-CF80-4CE5-AB81-E5D0BC7638A8}"/>
    <hyperlink ref="L25" r:id="rId12" xr:uid="{5707EF47-991D-439D-BDC9-1E8947DE8FC8}"/>
    <hyperlink ref="L20" r:id="rId13" xr:uid="{8B108F33-37BD-4F4C-BC60-9786FB636625}"/>
    <hyperlink ref="L22" r:id="rId14" xr:uid="{DFE49898-C8AB-4E86-8078-575A79BCEBB8}"/>
    <hyperlink ref="L45" r:id="rId15" xr:uid="{316097D6-0A9F-4834-9A3E-670A5C41CA01}"/>
    <hyperlink ref="L54" r:id="rId16" xr:uid="{3C23B98C-2836-4E18-A323-8EC42EB84A13}"/>
    <hyperlink ref="L58" r:id="rId17" xr:uid="{541DDD5A-BB6B-4C3D-9333-4AA595390166}"/>
    <hyperlink ref="L9" r:id="rId18" xr:uid="{0FF92D53-3A9E-4244-B001-1D0D81CC16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0CBA-9473-432A-B2F6-31DB858517F5}">
  <dimension ref="B3:J7"/>
  <sheetViews>
    <sheetView zoomScaleNormal="100" workbookViewId="0">
      <selection activeCell="A2" sqref="A2"/>
    </sheetView>
  </sheetViews>
  <sheetFormatPr defaultRowHeight="14.4" x14ac:dyDescent="0.55000000000000004"/>
  <cols>
    <col min="2" max="2" width="10.7890625" customWidth="1"/>
    <col min="3" max="3" width="11.9453125" customWidth="1"/>
    <col min="4" max="4" width="11.5234375" customWidth="1"/>
    <col min="5" max="5" width="11.20703125" customWidth="1"/>
    <col min="6" max="6" width="10.578125" customWidth="1"/>
    <col min="7" max="7" width="13.68359375" customWidth="1"/>
    <col min="8" max="8" width="12.26171875" customWidth="1"/>
    <col min="9" max="9" width="15.20703125" customWidth="1"/>
    <col min="10" max="10" width="16.5234375" customWidth="1"/>
  </cols>
  <sheetData>
    <row r="3" spans="2:10" ht="14.7" thickBot="1" x14ac:dyDescent="0.6"/>
    <row r="4" spans="2:10" x14ac:dyDescent="0.55000000000000004">
      <c r="B4" s="47" t="s">
        <v>1</v>
      </c>
      <c r="C4" s="45" t="s">
        <v>99</v>
      </c>
      <c r="D4" s="45" t="s">
        <v>100</v>
      </c>
      <c r="E4" s="45" t="s">
        <v>50</v>
      </c>
      <c r="F4" s="52" t="s">
        <v>47</v>
      </c>
      <c r="G4" s="52" t="s">
        <v>48</v>
      </c>
      <c r="H4" s="54" t="s">
        <v>46</v>
      </c>
      <c r="I4" s="45" t="s">
        <v>6</v>
      </c>
      <c r="J4" s="49" t="s">
        <v>49</v>
      </c>
    </row>
    <row r="5" spans="2:10" ht="47.7" customHeight="1" thickBot="1" x14ac:dyDescent="0.6">
      <c r="B5" s="48"/>
      <c r="C5" s="46"/>
      <c r="D5" s="46"/>
      <c r="E5" s="46"/>
      <c r="F5" s="53"/>
      <c r="G5" s="53"/>
      <c r="H5" s="55"/>
      <c r="I5" s="51"/>
      <c r="J5" s="50"/>
    </row>
    <row r="6" spans="2:10" ht="18.899999999999999" customHeight="1" thickBot="1" x14ac:dyDescent="0.6">
      <c r="B6" s="35" t="s">
        <v>52</v>
      </c>
      <c r="C6" s="36">
        <f>120.9/1000</f>
        <v>0.12090000000000001</v>
      </c>
      <c r="D6" s="36">
        <f>120.5/1000</f>
        <v>0.1205</v>
      </c>
      <c r="E6" s="36">
        <f>C6-D6</f>
        <v>4.0000000000001146E-4</v>
      </c>
      <c r="F6" s="37">
        <v>4</v>
      </c>
      <c r="G6" s="37">
        <v>0.25</v>
      </c>
      <c r="H6" s="38">
        <f>(C6-D6)/(F6*G6*D6)</f>
        <v>3.319502074688892E-3</v>
      </c>
      <c r="I6" s="38">
        <v>0</v>
      </c>
      <c r="J6" s="39" t="s">
        <v>98</v>
      </c>
    </row>
    <row r="7" spans="2:10" ht="19.8" customHeight="1" thickBot="1" x14ac:dyDescent="0.65">
      <c r="B7" s="40" t="s">
        <v>101</v>
      </c>
      <c r="C7" s="41">
        <v>34.6</v>
      </c>
      <c r="D7" s="41">
        <v>16.7</v>
      </c>
      <c r="E7" s="41">
        <f>C7-D7</f>
        <v>17.900000000000002</v>
      </c>
      <c r="F7" s="42">
        <v>4</v>
      </c>
      <c r="G7" s="42">
        <v>0.25</v>
      </c>
      <c r="H7" s="43">
        <f>(C7-D7)/(F7*G7*D7)</f>
        <v>1.0718562874251498</v>
      </c>
      <c r="I7" s="43">
        <v>0.1</v>
      </c>
      <c r="J7" s="44" t="s">
        <v>98</v>
      </c>
    </row>
  </sheetData>
  <mergeCells count="9">
    <mergeCell ref="I4:I5"/>
    <mergeCell ref="J4:J5"/>
    <mergeCell ref="B4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D44A-D434-4DC5-BEC2-FB3713C57B12}">
  <dimension ref="C4:C23"/>
  <sheetViews>
    <sheetView workbookViewId="0">
      <selection activeCell="C16" sqref="C16"/>
    </sheetView>
  </sheetViews>
  <sheetFormatPr defaultRowHeight="14.4" x14ac:dyDescent="0.55000000000000004"/>
  <sheetData>
    <row r="4" spans="3:3" x14ac:dyDescent="0.55000000000000004">
      <c r="C4" s="1" t="s">
        <v>96</v>
      </c>
    </row>
    <row r="6" spans="3:3" x14ac:dyDescent="0.55000000000000004">
      <c r="C6" s="4" t="s">
        <v>3</v>
      </c>
    </row>
    <row r="9" spans="3:3" x14ac:dyDescent="0.55000000000000004">
      <c r="C9" s="1" t="s">
        <v>5</v>
      </c>
    </row>
    <row r="10" spans="3:3" x14ac:dyDescent="0.55000000000000004">
      <c r="C10" s="4" t="s">
        <v>4</v>
      </c>
    </row>
    <row r="11" spans="3:3" x14ac:dyDescent="0.55000000000000004">
      <c r="C11" s="4"/>
    </row>
    <row r="12" spans="3:3" x14ac:dyDescent="0.55000000000000004">
      <c r="C12" s="1" t="s">
        <v>21</v>
      </c>
    </row>
    <row r="13" spans="3:3" x14ac:dyDescent="0.55000000000000004">
      <c r="C13" s="4" t="s">
        <v>20</v>
      </c>
    </row>
    <row r="14" spans="3:3" x14ac:dyDescent="0.55000000000000004">
      <c r="C14" s="4"/>
    </row>
    <row r="15" spans="3:3" x14ac:dyDescent="0.55000000000000004">
      <c r="C15" s="1" t="s">
        <v>97</v>
      </c>
    </row>
    <row r="16" spans="3:3" x14ac:dyDescent="0.55000000000000004">
      <c r="C16" s="4" t="s">
        <v>8</v>
      </c>
    </row>
    <row r="18" spans="3:3" x14ac:dyDescent="0.55000000000000004">
      <c r="C18" s="4" t="s">
        <v>77</v>
      </c>
    </row>
    <row r="19" spans="3:3" x14ac:dyDescent="0.55000000000000004">
      <c r="C19" s="1"/>
    </row>
    <row r="23" spans="3:3" x14ac:dyDescent="0.55000000000000004">
      <c r="C23" s="1"/>
    </row>
  </sheetData>
  <hyperlinks>
    <hyperlink ref="C6" r:id="rId1" xr:uid="{6BEE7C92-1BC6-43F7-926A-3CC1D6CCE74F}"/>
    <hyperlink ref="C10" r:id="rId2" xr:uid="{5CEEA53B-5FEF-48FA-ADCA-3AAC2A1CB684}"/>
    <hyperlink ref="C16" r:id="rId3" xr:uid="{CA66F941-D90E-4A48-BD5D-AB6B46EF6E81}"/>
    <hyperlink ref="C13" r:id="rId4" xr:uid="{120A1D6D-5FE6-4725-8AC3-1A28BC9249FE}"/>
    <hyperlink ref="C18" r:id="rId5" xr:uid="{E0614990-51BB-4E63-8949-3AEB23513C78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Tariff List</vt:lpstr>
      <vt:lpstr>Nepal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Mirza</dc:creator>
  <cp:lastModifiedBy>Ali Mirza</cp:lastModifiedBy>
  <dcterms:created xsi:type="dcterms:W3CDTF">2025-04-07T10:24:17Z</dcterms:created>
  <dcterms:modified xsi:type="dcterms:W3CDTF">2025-04-10T16:12:10Z</dcterms:modified>
</cp:coreProperties>
</file>